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追踪矩阵" sheetId="1" state="visible" r:id="rId1"/>
    <sheet name="统计概览" sheetId="2" state="visible" r:id="rId2"/>
  </sheets>
  <definedNames>
    <definedName name="_xlnm._FilterDatabase" localSheetId="0" hidden="1">'需求追踪矩阵'!$A$1:$K$26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sz val="10"/>
    </font>
    <font>
      <name val="Consolas"/>
      <sz val="10"/>
    </font>
    <font>
      <name val="微软雅黑"/>
      <b val="1"/>
      <color rgb="FF2F5597"/>
      <sz val="14"/>
    </font>
    <font>
      <name val="微软雅黑"/>
      <color rgb="FF7F7F7F"/>
      <sz val="9"/>
    </font>
    <font>
      <name val="微软雅黑"/>
      <b val="1"/>
      <color rgb="FF2F5597"/>
      <sz val="11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" pivotButton="0" quotePrefix="0" xfId="0"/>
    <xf numFmtId="1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1" t="inlineStr">
        <is>
          <t>序号</t>
        </is>
      </c>
      <c r="B1" s="1" t="inlineStr">
        <is>
          <t>角色</t>
        </is>
      </c>
      <c r="C1" s="1" t="inlineStr">
        <is>
          <t>业务流程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需求编号</t>
        </is>
      </c>
      <c r="G1" s="1" t="inlineStr">
        <is>
          <t>需求类型</t>
        </is>
      </c>
      <c r="H1" s="1" t="inlineStr">
        <is>
          <t>验收方式（可观察结果）</t>
        </is>
      </c>
      <c r="I1" s="1" t="inlineStr">
        <is>
          <t>负责人</t>
        </is>
      </c>
      <c r="J1" s="1" t="inlineStr">
        <is>
          <t>复核人</t>
        </is>
      </c>
      <c r="K1" s="1" t="inlineStr">
        <is>
          <t>阶段归属</t>
        </is>
      </c>
    </row>
    <row r="2">
      <c r="A2" s="2" t="n">
        <v>1</v>
      </c>
      <c r="B2" s="3" t="inlineStr">
        <is>
          <t>买家</t>
        </is>
      </c>
      <c r="C2" s="3" t="inlineStr">
        <is>
          <t>用户注册流程</t>
        </is>
      </c>
      <c r="D2" s="4" t="inlineStr">
        <is>
          <t>UC-USER-001</t>
        </is>
      </c>
      <c r="E2" s="3" t="inlineStr">
        <is>
          <t>用户注册</t>
        </is>
      </c>
      <c r="F2" s="4" t="inlineStr">
        <is>
          <t>FR-USER-001</t>
        </is>
      </c>
      <c r="G2" s="2" t="inlineStr">
        <is>
          <t>功能需求</t>
        </is>
      </c>
      <c r="H2" s="3" t="inlineStr">
        <is>
          <t>提交合法登录名与密码可注册成功，重复登录名返回冲突，响应不含密码或哈希</t>
        </is>
      </c>
      <c r="I2" s="2" t="inlineStr">
        <is>
          <t>方越</t>
        </is>
      </c>
      <c r="J2" s="2" t="inlineStr">
        <is>
          <t>王鹏宇</t>
        </is>
      </c>
      <c r="K2" s="2" t="inlineStr">
        <is>
          <t>项目I必须</t>
        </is>
      </c>
    </row>
    <row r="3">
      <c r="A3" s="5" t="n">
        <v>2</v>
      </c>
      <c r="B3" s="6" t="inlineStr">
        <is>
          <t>买家</t>
        </is>
      </c>
      <c r="C3" s="6" t="inlineStr">
        <is>
          <t>用户注册流程</t>
        </is>
      </c>
      <c r="D3" s="7" t="inlineStr">
        <is>
          <t>UC-USER-001</t>
        </is>
      </c>
      <c r="E3" s="6" t="inlineStr">
        <is>
          <t>用户注册</t>
        </is>
      </c>
      <c r="F3" s="7" t="inlineStr">
        <is>
          <t>SR-DATA-001</t>
        </is>
      </c>
      <c r="G3" s="5" t="inlineStr">
        <is>
          <t>安全需求</t>
        </is>
      </c>
      <c r="H3" s="6" t="inlineStr">
        <is>
          <t>检查数据库中不存在原始密码</t>
        </is>
      </c>
      <c r="I3" s="5" t="inlineStr">
        <is>
          <t>王鹏宇</t>
        </is>
      </c>
      <c r="J3" s="5" t="inlineStr">
        <is>
          <t>李陶然</t>
        </is>
      </c>
      <c r="K3" s="5" t="inlineStr">
        <is>
          <t>项目I必须</t>
        </is>
      </c>
    </row>
    <row r="4">
      <c r="A4" s="2" t="n">
        <v>3</v>
      </c>
      <c r="B4" s="3" t="inlineStr">
        <is>
          <t>买家</t>
        </is>
      </c>
      <c r="C4" s="3" t="inlineStr">
        <is>
          <t>用户注册流程</t>
        </is>
      </c>
      <c r="D4" s="4" t="inlineStr">
        <is>
          <t>UC-USER-001</t>
        </is>
      </c>
      <c r="E4" s="3" t="inlineStr">
        <is>
          <t>用户注册</t>
        </is>
      </c>
      <c r="F4" s="4" t="inlineStr">
        <is>
          <t>SR-SQL-001</t>
        </is>
      </c>
      <c r="G4" s="2" t="inlineStr">
        <is>
          <t>安全需求</t>
        </is>
      </c>
      <c r="H4" s="3" t="inlineStr">
        <is>
          <t>代码检查并执行 SQL 注入测试</t>
        </is>
      </c>
      <c r="I4" s="2" t="inlineStr">
        <is>
          <t>王鹏宇</t>
        </is>
      </c>
      <c r="J4" s="2" t="inlineStr">
        <is>
          <t>李陶然</t>
        </is>
      </c>
      <c r="K4" s="2" t="inlineStr">
        <is>
          <t>项目I必须</t>
        </is>
      </c>
    </row>
    <row r="5">
      <c r="A5" s="5" t="n">
        <v>4</v>
      </c>
      <c r="B5" s="6" t="inlineStr">
        <is>
          <t>买家、商户、管理员</t>
        </is>
      </c>
      <c r="C5" s="6" t="inlineStr">
        <is>
          <t>用户登录与退出流程</t>
        </is>
      </c>
      <c r="D5" s="7" t="inlineStr">
        <is>
          <t>UC-USER-002</t>
        </is>
      </c>
      <c r="E5" s="6" t="inlineStr">
        <is>
          <t>用户登录</t>
        </is>
      </c>
      <c r="F5" s="7" t="inlineStr">
        <is>
          <t>FR-USER-002</t>
        </is>
      </c>
      <c r="G5" s="5" t="inlineStr">
        <is>
          <t>功能需求</t>
        </is>
      </c>
      <c r="H5" s="6" t="inlineStr">
        <is>
          <t>正确凭据登录成功并返回有效令牌，错误凭据不得建立会话</t>
        </is>
      </c>
      <c r="I5" s="5" t="inlineStr">
        <is>
          <t>方越</t>
        </is>
      </c>
      <c r="J5" s="5" t="inlineStr">
        <is>
          <t>王鹏宇</t>
        </is>
      </c>
      <c r="K5" s="5" t="inlineStr">
        <is>
          <t>项目I必须</t>
        </is>
      </c>
    </row>
    <row r="6">
      <c r="A6" s="2" t="n">
        <v>5</v>
      </c>
      <c r="B6" s="3" t="inlineStr">
        <is>
          <t>买家、商户、管理员</t>
        </is>
      </c>
      <c r="C6" s="3" t="inlineStr">
        <is>
          <t>用户登录与退出流程</t>
        </is>
      </c>
      <c r="D6" s="4" t="inlineStr">
        <is>
          <t>UC-USER-002</t>
        </is>
      </c>
      <c r="E6" s="3" t="inlineStr">
        <is>
          <t>用户登录</t>
        </is>
      </c>
      <c r="F6" s="4" t="inlineStr">
        <is>
          <t>SR-INPUT-001</t>
        </is>
      </c>
      <c r="G6" s="2" t="inlineStr">
        <is>
          <t>安全需求</t>
        </is>
      </c>
      <c r="H6" s="3" t="inlineStr">
        <is>
          <t>提交空值、超长值和非法字符，系统应拒绝</t>
        </is>
      </c>
      <c r="I6" s="2" t="inlineStr">
        <is>
          <t>王鹏宇</t>
        </is>
      </c>
      <c r="J6" s="2" t="inlineStr">
        <is>
          <t>李陶然</t>
        </is>
      </c>
      <c r="K6" s="2" t="inlineStr">
        <is>
          <t>项目I必须</t>
        </is>
      </c>
    </row>
    <row r="7">
      <c r="A7" s="5" t="n">
        <v>6</v>
      </c>
      <c r="B7" s="6" t="inlineStr">
        <is>
          <t>买家、商户、管理员</t>
        </is>
      </c>
      <c r="C7" s="6" t="inlineStr">
        <is>
          <t>用户登录与退出流程</t>
        </is>
      </c>
      <c r="D7" s="7" t="inlineStr">
        <is>
          <t>UC-USER-002</t>
        </is>
      </c>
      <c r="E7" s="6" t="inlineStr">
        <is>
          <t>用户登录</t>
        </is>
      </c>
      <c r="F7" s="7" t="inlineStr">
        <is>
          <t>SR-AUTH-002</t>
        </is>
      </c>
      <c r="G7" s="5" t="inlineStr">
        <is>
          <t>安全需求</t>
        </is>
      </c>
      <c r="H7" s="6" t="inlineStr">
        <is>
          <t>连续输入5次错误密码，系统应提示账号锁定</t>
        </is>
      </c>
      <c r="I7" s="5" t="inlineStr">
        <is>
          <t>王鹏宇</t>
        </is>
      </c>
      <c r="J7" s="5" t="inlineStr">
        <is>
          <t>李陶然</t>
        </is>
      </c>
      <c r="K7" s="5" t="inlineStr">
        <is>
          <t>项目I必须</t>
        </is>
      </c>
    </row>
    <row r="8">
      <c r="A8" s="2" t="n">
        <v>7</v>
      </c>
      <c r="B8" s="3" t="inlineStr">
        <is>
          <t>买家、商户、管理员</t>
        </is>
      </c>
      <c r="C8" s="3" t="inlineStr">
        <is>
          <t>用户登录与退出流程</t>
        </is>
      </c>
      <c r="D8" s="4" t="inlineStr">
        <is>
          <t>UC-USER-002</t>
        </is>
      </c>
      <c r="E8" s="3" t="inlineStr">
        <is>
          <t>用户登录</t>
        </is>
      </c>
      <c r="F8" s="4" t="inlineStr">
        <is>
          <t>SR-LOG-001</t>
        </is>
      </c>
      <c r="G8" s="2" t="inlineStr">
        <is>
          <t>安全需求</t>
        </is>
      </c>
      <c r="H8" s="3" t="inlineStr">
        <is>
          <t>检查注册、登录和异常日志</t>
        </is>
      </c>
      <c r="I8" s="2" t="inlineStr">
        <is>
          <t>王鹏宇</t>
        </is>
      </c>
      <c r="J8" s="2" t="inlineStr">
        <is>
          <t>李陶然</t>
        </is>
      </c>
      <c r="K8" s="2" t="inlineStr">
        <is>
          <t>项目I必须</t>
        </is>
      </c>
    </row>
    <row r="9">
      <c r="A9" s="5" t="n">
        <v>8</v>
      </c>
      <c r="B9" s="6" t="inlineStr">
        <is>
          <t>买家、商户、管理员</t>
        </is>
      </c>
      <c r="C9" s="6" t="inlineStr">
        <is>
          <t>用户登录与退出流程</t>
        </is>
      </c>
      <c r="D9" s="7" t="inlineStr">
        <is>
          <t>UC-USER-002</t>
        </is>
      </c>
      <c r="E9" s="6" t="inlineStr">
        <is>
          <t>用户登录</t>
        </is>
      </c>
      <c r="F9" s="7" t="inlineStr">
        <is>
          <t>NFR-REL-001</t>
        </is>
      </c>
      <c r="G9" s="5" t="inlineStr">
        <is>
          <t>非功能需求</t>
        </is>
      </c>
      <c r="H9" s="6" t="inlineStr">
        <is>
          <t>模拟服务异常，前端不暴露堆栈信息或500页面</t>
        </is>
      </c>
      <c r="I9" s="5" t="inlineStr">
        <is>
          <t>张桐睿</t>
        </is>
      </c>
      <c r="J9" s="5" t="inlineStr">
        <is>
          <t>王陈俊</t>
        </is>
      </c>
      <c r="K9" s="5" t="inlineStr">
        <is>
          <t>项目I必须</t>
        </is>
      </c>
    </row>
    <row r="10">
      <c r="A10" s="2" t="n">
        <v>9</v>
      </c>
      <c r="B10" s="3" t="inlineStr">
        <is>
          <t>买家、商户、管理员</t>
        </is>
      </c>
      <c r="C10" s="3" t="inlineStr">
        <is>
          <t>用户登录与退出流程</t>
        </is>
      </c>
      <c r="D10" s="4" t="inlineStr">
        <is>
          <t>UC-USER-004</t>
        </is>
      </c>
      <c r="E10" s="3" t="inlineStr">
        <is>
          <t>用户退出</t>
        </is>
      </c>
      <c r="F10" s="4" t="inlineStr">
        <is>
          <t>FR-USER-003</t>
        </is>
      </c>
      <c r="G10" s="2" t="inlineStr">
        <is>
          <t>功能需求</t>
        </is>
      </c>
      <c r="H10" s="3" t="inlineStr">
        <is>
          <t>退出成功后再用原令牌访问受保护接口，应返回未认证</t>
        </is>
      </c>
      <c r="I10" s="2" t="inlineStr">
        <is>
          <t>方越</t>
        </is>
      </c>
      <c r="J10" s="2" t="inlineStr">
        <is>
          <t>王鹏宇</t>
        </is>
      </c>
      <c r="K10" s="2" t="inlineStr">
        <is>
          <t>项目I必须</t>
        </is>
      </c>
    </row>
    <row r="11">
      <c r="A11" s="5" t="n">
        <v>10</v>
      </c>
      <c r="B11" s="6" t="inlineStr">
        <is>
          <t>买家、商户、管理员</t>
        </is>
      </c>
      <c r="C11" s="6" t="inlineStr">
        <is>
          <t>用户登录与退出流程</t>
        </is>
      </c>
      <c r="D11" s="7" t="inlineStr">
        <is>
          <t>UC-USER-004</t>
        </is>
      </c>
      <c r="E11" s="6" t="inlineStr">
        <is>
          <t>用户退出</t>
        </is>
      </c>
      <c r="F11" s="7" t="inlineStr">
        <is>
          <t>SR-SESSION-001</t>
        </is>
      </c>
      <c r="G11" s="5" t="inlineStr">
        <is>
          <t>安全需求</t>
        </is>
      </c>
      <c r="H11" s="6" t="inlineStr">
        <is>
          <t>使用退出前的令牌再次访问，应返回未认证</t>
        </is>
      </c>
      <c r="I11" s="5" t="inlineStr">
        <is>
          <t>王鹏宇</t>
        </is>
      </c>
      <c r="J11" s="5" t="inlineStr">
        <is>
          <t>李陶然</t>
        </is>
      </c>
      <c r="K11" s="5" t="inlineStr">
        <is>
          <t>项目I必须</t>
        </is>
      </c>
    </row>
    <row r="12">
      <c r="A12" s="2" t="n">
        <v>11</v>
      </c>
      <c r="B12" s="3" t="inlineStr">
        <is>
          <t>买家、商户、管理员</t>
        </is>
      </c>
      <c r="C12" s="3" t="inlineStr">
        <is>
          <t>个人信息查询与修改流程</t>
        </is>
      </c>
      <c r="D12" s="4" t="inlineStr">
        <is>
          <t>UC-USER-003</t>
        </is>
      </c>
      <c r="E12" s="3" t="inlineStr">
        <is>
          <t>查询个人信息</t>
        </is>
      </c>
      <c r="F12" s="4" t="inlineStr">
        <is>
          <t>FR-USER-004</t>
        </is>
      </c>
      <c r="G12" s="2" t="inlineStr">
        <is>
          <t>功能需求</t>
        </is>
      </c>
      <c r="H12" s="3" t="inlineStr">
        <is>
          <t>仅返回本人资料且敏感字段脱敏，不接受客户端指定用户编号</t>
        </is>
      </c>
      <c r="I12" s="2" t="inlineStr">
        <is>
          <t>方越</t>
        </is>
      </c>
      <c r="J12" s="2" t="inlineStr">
        <is>
          <t>王鹏宇</t>
        </is>
      </c>
      <c r="K12" s="2" t="inlineStr">
        <is>
          <t>项目I必须</t>
        </is>
      </c>
    </row>
    <row r="13">
      <c r="A13" s="5" t="n">
        <v>12</v>
      </c>
      <c r="B13" s="6" t="inlineStr">
        <is>
          <t>买家、商户、管理员</t>
        </is>
      </c>
      <c r="C13" s="6" t="inlineStr">
        <is>
          <t>个人信息查询与修改流程</t>
        </is>
      </c>
      <c r="D13" s="7" t="inlineStr">
        <is>
          <t>UC-USER-003</t>
        </is>
      </c>
      <c r="E13" s="6" t="inlineStr">
        <is>
          <t>查询个人信息</t>
        </is>
      </c>
      <c r="F13" s="7" t="inlineStr">
        <is>
          <t>SR-AUTH-001</t>
        </is>
      </c>
      <c r="G13" s="5" t="inlineStr">
        <is>
          <t>安全需求</t>
        </is>
      </c>
      <c r="H13" s="6" t="inlineStr">
        <is>
          <t>修改请求中的用户编号，服务器应拒绝访问</t>
        </is>
      </c>
      <c r="I13" s="5" t="inlineStr">
        <is>
          <t>王鹏宇</t>
        </is>
      </c>
      <c r="J13" s="5" t="inlineStr">
        <is>
          <t>李陶然</t>
        </is>
      </c>
      <c r="K13" s="5" t="inlineStr">
        <is>
          <t>项目I必须</t>
        </is>
      </c>
    </row>
    <row r="14">
      <c r="A14" s="2" t="n">
        <v>13</v>
      </c>
      <c r="B14" s="3" t="inlineStr">
        <is>
          <t>买家、商户、管理员</t>
        </is>
      </c>
      <c r="C14" s="3" t="inlineStr">
        <is>
          <t>个人信息查询与修改流程</t>
        </is>
      </c>
      <c r="D14" s="4" t="inlineStr">
        <is>
          <t>UC-USER-005</t>
        </is>
      </c>
      <c r="E14" s="3" t="inlineStr">
        <is>
          <t>修改个人信息</t>
        </is>
      </c>
      <c r="F14" s="4" t="inlineStr">
        <is>
          <t>FR-USER-005</t>
        </is>
      </c>
      <c r="G14" s="2" t="inlineStr">
        <is>
          <t>功能需求</t>
        </is>
      </c>
      <c r="H14" s="3" t="inlineStr">
        <is>
          <t>仅白名单字段可修改，角色、账号状态等字段不可由客户端变更</t>
        </is>
      </c>
      <c r="I14" s="2" t="inlineStr">
        <is>
          <t>方越</t>
        </is>
      </c>
      <c r="J14" s="2" t="inlineStr">
        <is>
          <t>王鹏宇</t>
        </is>
      </c>
      <c r="K14" s="2" t="inlineStr">
        <is>
          <t>项目I必须</t>
        </is>
      </c>
    </row>
    <row r="15">
      <c r="A15" s="5" t="n">
        <v>14</v>
      </c>
      <c r="B15" s="6" t="inlineStr">
        <is>
          <t>买家、商户、管理员</t>
        </is>
      </c>
      <c r="C15" s="6" t="inlineStr">
        <is>
          <t>个人信息查询与修改流程</t>
        </is>
      </c>
      <c r="D15" s="7" t="inlineStr">
        <is>
          <t>UC-USER-006</t>
        </is>
      </c>
      <c r="E15" s="6" t="inlineStr">
        <is>
          <t>修改密码</t>
        </is>
      </c>
      <c r="F15" s="7" t="inlineStr">
        <is>
          <t>FR-USER-006</t>
        </is>
      </c>
      <c r="G15" s="5" t="inlineStr">
        <is>
          <t>功能需求</t>
        </is>
      </c>
      <c r="H15" s="6" t="inlineStr">
        <is>
          <t>旧密码正确才允许修改，新密码以加盐哈希存储且响应不含密码</t>
        </is>
      </c>
      <c r="I15" s="5" t="inlineStr">
        <is>
          <t>方越</t>
        </is>
      </c>
      <c r="J15" s="5" t="inlineStr">
        <is>
          <t>王鹏宇</t>
        </is>
      </c>
      <c r="K15" s="5" t="inlineStr">
        <is>
          <t>项目I必须</t>
        </is>
      </c>
    </row>
    <row r="16">
      <c r="A16" s="2" t="n">
        <v>15</v>
      </c>
      <c r="B16" s="3" t="inlineStr">
        <is>
          <t>买家</t>
        </is>
      </c>
      <c r="C16" s="3" t="inlineStr">
        <is>
          <t>浏览图书并加入购物车流程</t>
        </is>
      </c>
      <c r="D16" s="4" t="inlineStr">
        <is>
          <t>UC-BOOK-001</t>
        </is>
      </c>
      <c r="E16" s="3" t="inlineStr">
        <is>
          <t>浏览与搜索图书</t>
        </is>
      </c>
      <c r="F16" s="4" t="inlineStr">
        <is>
          <t>FR-GOODS-001</t>
        </is>
      </c>
      <c r="G16" s="2" t="inlineStr">
        <is>
          <t>功能需求</t>
        </is>
      </c>
      <c r="H16" s="3" t="inlineStr">
        <is>
          <t>按书名/作者/ISBN/分类检索，分页返回在售图书且不泄露商户内部数据</t>
        </is>
      </c>
      <c r="I16" s="2" t="inlineStr">
        <is>
          <t>王陈俊</t>
        </is>
      </c>
      <c r="J16" s="2" t="inlineStr">
        <is>
          <t>方越</t>
        </is>
      </c>
      <c r="K16" s="2" t="inlineStr">
        <is>
          <t>项目I扩展</t>
        </is>
      </c>
    </row>
    <row r="17">
      <c r="A17" s="5" t="n">
        <v>16</v>
      </c>
      <c r="B17" s="6" t="inlineStr">
        <is>
          <t>买家</t>
        </is>
      </c>
      <c r="C17" s="6" t="inlineStr">
        <is>
          <t>浏览图书并加入购物车流程</t>
        </is>
      </c>
      <c r="D17" s="7" t="inlineStr">
        <is>
          <t>UC-BOOK-001</t>
        </is>
      </c>
      <c r="E17" s="6" t="inlineStr">
        <is>
          <t>浏览与搜索图书</t>
        </is>
      </c>
      <c r="F17" s="7" t="inlineStr">
        <is>
          <t>NFR-PERF-001</t>
        </is>
      </c>
      <c r="G17" s="5" t="inlineStr">
        <is>
          <t>非功能需求</t>
        </is>
      </c>
      <c r="H17" s="6" t="inlineStr">
        <is>
          <t>模拟50并发请求商品列表，检查平均响应时间</t>
        </is>
      </c>
      <c r="I17" s="5" t="inlineStr">
        <is>
          <t>张桐睿</t>
        </is>
      </c>
      <c r="J17" s="5" t="inlineStr">
        <is>
          <t>王陈俊</t>
        </is>
      </c>
      <c r="K17" s="5" t="inlineStr">
        <is>
          <t>项目I扩展</t>
        </is>
      </c>
    </row>
    <row r="18">
      <c r="A18" s="2" t="n">
        <v>17</v>
      </c>
      <c r="B18" s="3" t="inlineStr">
        <is>
          <t>买家</t>
        </is>
      </c>
      <c r="C18" s="3" t="inlineStr">
        <is>
          <t>浏览图书并加入购物车流程</t>
        </is>
      </c>
      <c r="D18" s="4" t="inlineStr">
        <is>
          <t>UC-BOOK-002</t>
        </is>
      </c>
      <c r="E18" s="3" t="inlineStr">
        <is>
          <t>查看图书详情</t>
        </is>
      </c>
      <c r="F18" s="4" t="inlineStr">
        <is>
          <t>FR-GOODS-002</t>
        </is>
      </c>
      <c r="G18" s="2" t="inlineStr">
        <is>
          <t>功能需求</t>
        </is>
      </c>
      <c r="H18" s="3" t="inlineStr">
        <is>
          <t>展示服务端权威的价格、库存与简介；已下架图书返回不存在或不可访问</t>
        </is>
      </c>
      <c r="I18" s="2" t="inlineStr">
        <is>
          <t>王陈俊</t>
        </is>
      </c>
      <c r="J18" s="2" t="inlineStr">
        <is>
          <t>方越</t>
        </is>
      </c>
      <c r="K18" s="2" t="inlineStr">
        <is>
          <t>项目I扩展</t>
        </is>
      </c>
    </row>
    <row r="19">
      <c r="A19" s="5" t="n">
        <v>18</v>
      </c>
      <c r="B19" s="6" t="inlineStr">
        <is>
          <t>买家</t>
        </is>
      </c>
      <c r="C19" s="6" t="inlineStr">
        <is>
          <t>浏览图书并加入购物车流程</t>
        </is>
      </c>
      <c r="D19" s="7" t="inlineStr">
        <is>
          <t>UC-CART-001</t>
        </is>
      </c>
      <c r="E19" s="6" t="inlineStr">
        <is>
          <t>查询购物车</t>
        </is>
      </c>
      <c r="F19" s="7" t="inlineStr">
        <is>
          <t>FR-CART-001</t>
        </is>
      </c>
      <c r="G19" s="5" t="inlineStr">
        <is>
          <t>功能需求</t>
        </is>
      </c>
      <c r="H19" s="6" t="inlineStr">
        <is>
          <t>只返回本人购物车，金额以服务端商品价格计算，不接受客户端传入归属编号</t>
        </is>
      </c>
      <c r="I19" s="5" t="inlineStr">
        <is>
          <t>王陈俊</t>
        </is>
      </c>
      <c r="J19" s="5" t="inlineStr">
        <is>
          <t>方越</t>
        </is>
      </c>
      <c r="K19" s="5" t="inlineStr">
        <is>
          <t>项目I扩展</t>
        </is>
      </c>
    </row>
    <row r="20">
      <c r="A20" s="2" t="n">
        <v>19</v>
      </c>
      <c r="B20" s="3" t="inlineStr">
        <is>
          <t>买家</t>
        </is>
      </c>
      <c r="C20" s="3" t="inlineStr">
        <is>
          <t>浏览图书并加入购物车流程</t>
        </is>
      </c>
      <c r="D20" s="4" t="inlineStr">
        <is>
          <t>UC-CART-002</t>
        </is>
      </c>
      <c r="E20" s="3" t="inlineStr">
        <is>
          <t>加入购物车</t>
        </is>
      </c>
      <c r="F20" s="4" t="inlineStr">
        <is>
          <t>FR-CART-002</t>
        </is>
      </c>
      <c r="G20" s="2" t="inlineStr">
        <is>
          <t>功能需求</t>
        </is>
      </c>
      <c r="H20" s="3" t="inlineStr">
        <is>
          <t>校验图书状态、库存与购买数量，不信任客户端提交的价格与总价</t>
        </is>
      </c>
      <c r="I20" s="2" t="inlineStr">
        <is>
          <t>王陈俊</t>
        </is>
      </c>
      <c r="J20" s="2" t="inlineStr">
        <is>
          <t>方越</t>
        </is>
      </c>
      <c r="K20" s="2" t="inlineStr">
        <is>
          <t>项目I扩展</t>
        </is>
      </c>
    </row>
    <row r="21">
      <c r="A21" s="5" t="n">
        <v>20</v>
      </c>
      <c r="B21" s="6" t="inlineStr">
        <is>
          <t>商户</t>
        </is>
      </c>
      <c r="C21" s="6" t="inlineStr">
        <is>
          <t>商户发布与维护图书流程</t>
        </is>
      </c>
      <c r="D21" s="7" t="inlineStr">
        <is>
          <t>UC-MER-001</t>
        </is>
      </c>
      <c r="E21" s="6" t="inlineStr">
        <is>
          <t>维护本店图书</t>
        </is>
      </c>
      <c r="F21" s="7" t="inlineStr">
        <is>
          <t>FR-MER-001</t>
        </is>
      </c>
      <c r="G21" s="5" t="inlineStr">
        <is>
          <t>功能需求</t>
        </is>
      </c>
      <c r="H21" s="6" t="inlineStr">
        <is>
          <t>商户仅能维护本店图书，跨商户操作应被拒绝并写入审计日志</t>
        </is>
      </c>
      <c r="I21" s="5" t="inlineStr">
        <is>
          <t>张桐睿</t>
        </is>
      </c>
      <c r="J21" s="5" t="inlineStr">
        <is>
          <t>方越</t>
        </is>
      </c>
      <c r="K21" s="5" t="inlineStr">
        <is>
          <t>项目I扩展</t>
        </is>
      </c>
    </row>
    <row r="22">
      <c r="A22" s="2" t="n">
        <v>21</v>
      </c>
      <c r="B22" s="3" t="inlineStr">
        <is>
          <t>买家</t>
        </is>
      </c>
      <c r="C22" s="3" t="inlineStr">
        <is>
          <t>订单创建与支付流程</t>
        </is>
      </c>
      <c r="D22" s="4" t="inlineStr">
        <is>
          <t>UC-ORDER-001</t>
        </is>
      </c>
      <c r="E22" s="3" t="inlineStr">
        <is>
          <t>创建与查询订单</t>
        </is>
      </c>
      <c r="F22" s="4" t="inlineStr">
        <is>
          <t>FR-ORDER-001</t>
        </is>
      </c>
      <c r="G22" s="2" t="inlineStr">
        <is>
          <t>功能需求</t>
        </is>
      </c>
      <c r="H22" s="3" t="inlineStr">
        <is>
          <t>买家基于购物车创建订单并可查询本人订单状态</t>
        </is>
      </c>
      <c r="I22" s="2" t="inlineStr">
        <is>
          <t>张桐睿</t>
        </is>
      </c>
      <c r="J22" s="2" t="inlineStr">
        <is>
          <t>方越</t>
        </is>
      </c>
      <c r="K22" s="2" t="inlineStr">
        <is>
          <t>项目I扩展</t>
        </is>
      </c>
    </row>
    <row r="23">
      <c r="A23" s="5" t="n">
        <v>22</v>
      </c>
      <c r="B23" s="6" t="inlineStr">
        <is>
          <t>商户</t>
        </is>
      </c>
      <c r="C23" s="6" t="inlineStr">
        <is>
          <t>订单创建与支付流程</t>
        </is>
      </c>
      <c r="D23" s="7" t="inlineStr">
        <is>
          <t>UC-ORDER-002</t>
        </is>
      </c>
      <c r="E23" s="6" t="inlineStr">
        <is>
          <t>处理本店订单发货</t>
        </is>
      </c>
      <c r="F23" s="7" t="inlineStr">
        <is>
          <t>FR-ORDER-002</t>
        </is>
      </c>
      <c r="G23" s="5" t="inlineStr">
        <is>
          <t>功能需求</t>
        </is>
      </c>
      <c r="H23" s="6" t="inlineStr">
        <is>
          <t>商户只能查看并处理本店订单，发货后订单状态可查询</t>
        </is>
      </c>
      <c r="I23" s="5" t="inlineStr">
        <is>
          <t>张桐睿</t>
        </is>
      </c>
      <c r="J23" s="5" t="inlineStr">
        <is>
          <t>方越</t>
        </is>
      </c>
      <c r="K23" s="5" t="inlineStr">
        <is>
          <t>项目I扩展</t>
        </is>
      </c>
    </row>
    <row r="24">
      <c r="A24" s="2" t="n">
        <v>23</v>
      </c>
      <c r="B24" s="3" t="inlineStr">
        <is>
          <t>支付机构</t>
        </is>
      </c>
      <c r="C24" s="3" t="inlineStr">
        <is>
          <t>订单创建与支付流程</t>
        </is>
      </c>
      <c r="D24" s="4" t="inlineStr">
        <is>
          <t>UC-PAY-001</t>
        </is>
      </c>
      <c r="E24" s="3" t="inlineStr">
        <is>
          <t>支付请求与回调</t>
        </is>
      </c>
      <c r="F24" s="4" t="inlineStr">
        <is>
          <t>FR-PAY-001</t>
        </is>
      </c>
      <c r="G24" s="2" t="inlineStr">
        <is>
          <t>功能需求</t>
        </is>
      </c>
      <c r="H24" s="3" t="inlineStr">
        <is>
          <t>支付回调须验签、校验金额与订单号并保证幂等；支付机构不得直连业务数据库</t>
        </is>
      </c>
      <c r="I24" s="2" t="inlineStr">
        <is>
          <t>张桐睿</t>
        </is>
      </c>
      <c r="J24" s="2" t="inlineStr">
        <is>
          <t>方越</t>
        </is>
      </c>
      <c r="K24" s="2" t="inlineStr">
        <is>
          <t>项目II预留</t>
        </is>
      </c>
    </row>
    <row r="25">
      <c r="A25" s="5" t="n">
        <v>24</v>
      </c>
      <c r="B25" s="6" t="inlineStr">
        <is>
          <t>管理员</t>
        </is>
      </c>
      <c r="C25" s="6" t="inlineStr">
        <is>
          <t>平台审核与安全审计流程</t>
        </is>
      </c>
      <c r="D25" s="7" t="inlineStr">
        <is>
          <t>UC-ADMIN-001</t>
        </is>
      </c>
      <c r="E25" s="6" t="inlineStr">
        <is>
          <t>审核商户与商品</t>
        </is>
      </c>
      <c r="F25" s="7" t="inlineStr">
        <is>
          <t>FR-ADMIN-001</t>
        </is>
      </c>
      <c r="G25" s="5" t="inlineStr">
        <is>
          <t>功能需求</t>
        </is>
      </c>
      <c r="H25" s="6" t="inlineStr">
        <is>
          <t>管理员审核商户资质与违规商品，审核结论与操作人可追溯</t>
        </is>
      </c>
      <c r="I25" s="5" t="inlineStr">
        <is>
          <t>张桐睿</t>
        </is>
      </c>
      <c r="J25" s="5" t="inlineStr">
        <is>
          <t>王鹏宇</t>
        </is>
      </c>
      <c r="K25" s="5" t="inlineStr">
        <is>
          <t>项目I扩展</t>
        </is>
      </c>
    </row>
    <row r="26">
      <c r="A26" s="2" t="n">
        <v>25</v>
      </c>
      <c r="B26" s="3" t="inlineStr">
        <is>
          <t>管理员</t>
        </is>
      </c>
      <c r="C26" s="3" t="inlineStr">
        <is>
          <t>平台审核与安全审计流程</t>
        </is>
      </c>
      <c r="D26" s="4" t="inlineStr">
        <is>
          <t>UC-ADMIN-002</t>
        </is>
      </c>
      <c r="E26" s="3" t="inlineStr">
        <is>
          <t>账号封禁与审计日志</t>
        </is>
      </c>
      <c r="F26" s="4" t="inlineStr">
        <is>
          <t>FR-ADMIN-002</t>
        </is>
      </c>
      <c r="G26" s="2" t="inlineStr">
        <is>
          <t>功能需求</t>
        </is>
      </c>
      <c r="H26" s="3" t="inlineStr">
        <is>
          <t>管理员可查询审计日志，且系统不提供修改或删除入口</t>
        </is>
      </c>
      <c r="I26" s="2" t="inlineStr">
        <is>
          <t>张桐睿</t>
        </is>
      </c>
      <c r="J26" s="2" t="inlineStr">
        <is>
          <t>王鹏宇</t>
        </is>
      </c>
      <c r="K26" s="2" t="inlineStr">
        <is>
          <t>项目I扩展</t>
        </is>
      </c>
    </row>
  </sheetData>
  <autoFilter ref="A1:K26"/>
  <conditionalFormatting sqref="K2:K26">
    <cfRule type="cellIs" priority="1" operator="equal" dxfId="0">
      <formula>"项目I必须"</formula>
    </cfRule>
    <cfRule type="cellIs" priority="2" operator="equal" dxfId="1">
      <formula>"项目I扩展"</formula>
    </cfRule>
    <cfRule type="cellIs" priority="3" operator="equal" dxfId="2">
      <formula>"项目II预留"</formula>
    </cfRule>
  </conditionalFormatting>
  <dataValidations count="4">
    <dataValidation sqref="K2:K26" showDropDown="0" showInputMessage="0" showErrorMessage="0" allowBlank="1" type="list">
      <formula1>"项目I必须,项目I扩展,项目II预留"</formula1>
    </dataValidation>
    <dataValidation sqref="G2:G26" showDropDown="0" showInputMessage="0" showErrorMessage="0" allowBlank="1" type="list">
      <formula1>"功能需求,安全需求,非功能需求"</formula1>
    </dataValidation>
    <dataValidation sqref="I2:I26 J2:J26" showDropDown="0" showInputMessage="0" showErrorMessage="0" allowBlank="1" type="list">
      <formula1>"张桐睿,方越,王陈俊,王鹏宇,李陶然"</formula1>
    </dataValidation>
    <dataValidation sqref="I2:I26 J2:J26" showDropDown="0" showInputMessage="0" showErrorMessage="0" allowBlank="1" type="list">
      <formula1>"张桐睿,方越,王陈俊,王鹏宇,李陶然"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16" customWidth="1" min="4" max="4"/>
  </cols>
  <sheetData>
    <row r="1" ht="28" customHeight="1">
      <c r="A1" s="8" t="inlineStr">
        <is>
          <t>CipherBook 在线书店 · 需求追踪矩阵 V1 · 统计概览</t>
        </is>
      </c>
    </row>
    <row r="2">
      <c r="A2" s="9" t="inlineStr">
        <is>
          <t>统计口径：本工作簿「需求追踪矩阵」表，每条需求登记 1 条主追踪条目；验收下限取自第 3 周任务书；需求/用例编号与《安全与非功能需求清单V1》《API对象清单V0.1》保持一致。</t>
        </is>
      </c>
    </row>
    <row r="3">
      <c r="A3" s="10" t="inlineStr">
        <is>
          <t>一、需求条数与验收下限</t>
        </is>
      </c>
      <c r="B3" s="11" t="n"/>
      <c r="C3" s="11" t="n"/>
      <c r="D3" s="11" t="n"/>
    </row>
    <row r="4">
      <c r="A4" s="1" t="inlineStr">
        <is>
          <t>指标</t>
        </is>
      </c>
      <c r="B4" s="1" t="inlineStr">
        <is>
          <t>数量</t>
        </is>
      </c>
      <c r="C4" s="1" t="inlineStr">
        <is>
          <t>验收下限</t>
        </is>
      </c>
      <c r="D4" s="1" t="inlineStr">
        <is>
          <t>是否达标</t>
        </is>
      </c>
    </row>
    <row r="5">
      <c r="A5" s="3" t="inlineStr">
        <is>
          <t>功能需求条数（FR-*）</t>
        </is>
      </c>
      <c r="B5" s="12">
        <f>COUNTIF('需求追踪矩阵'!$F:$F,"FR-*")</f>
        <v>16.0</v>
      </c>
      <c r="C5" s="12" t="n">
        <v>10</v>
      </c>
      <c r="D5" s="13" t="str">
        <f>IF(B5&gt;=C5,"达标","不足")</f>
        <v>达标</v>
      </c>
    </row>
    <row r="6">
      <c r="A6" s="3" t="inlineStr">
        <is>
          <t>其中：用户管理核心需求（FR-USER-*）</t>
        </is>
      </c>
      <c r="B6" s="12">
        <f>COUNTIF('需求追踪矩阵'!$F:$F,"FR-USER-*")</f>
        <v>6.0</v>
      </c>
      <c r="C6" s="12" t="n">
        <v>6</v>
      </c>
      <c r="D6" s="13" t="str">
        <f>IF(B6&gt;=C6,"达标","不足")</f>
        <v>达标</v>
      </c>
    </row>
    <row r="7">
      <c r="A7" s="3" t="inlineStr">
        <is>
          <t>安全需求条数（SR-*）</t>
        </is>
      </c>
      <c r="B7" s="12">
        <f>COUNTIF('需求追踪矩阵'!$F:$F,"SR-*")</f>
        <v>7.0</v>
      </c>
      <c r="C7" s="12" t="n">
        <v>6</v>
      </c>
      <c r="D7" s="13" t="str">
        <f>IF(B7&gt;=C7,"达标","不足")</f>
        <v>达标</v>
      </c>
    </row>
    <row r="8">
      <c r="A8" s="3" t="inlineStr">
        <is>
          <t>安全与非功能需求合计（SR-* + NFR-*）</t>
        </is>
      </c>
      <c r="B8" s="12">
        <f>COUNTIF('需求追踪矩阵'!$F:$F,"SR-*")+COUNTIF('需求追踪矩阵'!$F:$F,"NFR-*")</f>
        <v>9.0</v>
      </c>
      <c r="C8" s="12" t="n">
        <v>8</v>
      </c>
      <c r="D8" s="13" t="str">
        <f>IF(B8&gt;=C8,"达标","不足")</f>
        <v>达标</v>
      </c>
    </row>
    <row r="9">
      <c r="A9" s="3" t="inlineStr">
        <is>
          <t>需求条目合计</t>
        </is>
      </c>
      <c r="B9" s="12">
        <f>B5+B8</f>
        <v>25.0</v>
      </c>
      <c r="C9" s="12" t="n">
        <v>18</v>
      </c>
      <c r="D9" s="13" t="str">
        <f>IF(B9&gt;=C9,"达标","不足")</f>
        <v>达标</v>
      </c>
    </row>
    <row r="11">
      <c r="A11" s="10" t="inlineStr">
        <is>
          <t>二、业务流程覆盖（第 3 周要求的 3 条核心流程 + 扩展流程）</t>
        </is>
      </c>
      <c r="B11" s="11" t="n"/>
      <c r="C11" s="11" t="n"/>
      <c r="D11" s="11" t="n"/>
    </row>
    <row r="12">
      <c r="A12" s="1" t="inlineStr">
        <is>
          <t>业务流程</t>
        </is>
      </c>
      <c r="B12" s="1" t="inlineStr">
        <is>
          <t>关联需求条目数</t>
        </is>
      </c>
      <c r="C12" s="1" t="inlineStr">
        <is>
          <t>覆盖用例</t>
        </is>
      </c>
      <c r="D12" s="1" t="inlineStr">
        <is>
          <t>是否覆盖</t>
        </is>
      </c>
    </row>
    <row r="13">
      <c r="A13" s="3" t="inlineStr">
        <is>
          <t>用户注册流程</t>
        </is>
      </c>
      <c r="B13" s="12">
        <f>COUNTIF('需求追踪矩阵'!$C:$C,$A13)</f>
        <v>3.0</v>
      </c>
      <c r="C13" s="14" t="inlineStr">
        <is>
          <t>UC-USER-001</t>
        </is>
      </c>
      <c r="D13" s="13" t="str">
        <f>IF(B13&gt;0,"已覆盖","缺失")</f>
        <v>已覆盖</v>
      </c>
    </row>
    <row r="14">
      <c r="A14" s="3" t="inlineStr">
        <is>
          <t>用户登录与退出流程</t>
        </is>
      </c>
      <c r="B14" s="12">
        <f>COUNTIF('需求追踪矩阵'!$C:$C,$A14)</f>
        <v>7.0</v>
      </c>
      <c r="C14" s="14" t="inlineStr">
        <is>
          <t>UC-USER-002、UC-USER-004</t>
        </is>
      </c>
      <c r="D14" s="13" t="str">
        <f>IF(B14&gt;0,"已覆盖","缺失")</f>
        <v>已覆盖</v>
      </c>
    </row>
    <row r="15">
      <c r="A15" s="3" t="inlineStr">
        <is>
          <t>个人信息查询与修改流程</t>
        </is>
      </c>
      <c r="B15" s="12">
        <f>COUNTIF('需求追踪矩阵'!$C:$C,$A15)</f>
        <v>4.0</v>
      </c>
      <c r="C15" s="14" t="inlineStr">
        <is>
          <t>UC-USER-003、UC-USER-005、UC-USER-006</t>
        </is>
      </c>
      <c r="D15" s="13" t="str">
        <f>IF(B15&gt;0,"已覆盖","缺失")</f>
        <v>已覆盖</v>
      </c>
    </row>
    <row r="16">
      <c r="A16" s="3" t="inlineStr">
        <is>
          <t>浏览图书并加入购物车流程</t>
        </is>
      </c>
      <c r="B16" s="12">
        <f>COUNTIF('需求追踪矩阵'!$C:$C,$A16)</f>
        <v>5.0</v>
      </c>
      <c r="C16" s="14" t="inlineStr">
        <is>
          <t>UC-BOOK-001、UC-BOOK-002、UC-CART-001、UC-CART-002</t>
        </is>
      </c>
      <c r="D16" s="13" t="str">
        <f>IF(B16&gt;0,"已覆盖","缺失")</f>
        <v>已覆盖</v>
      </c>
    </row>
    <row r="17">
      <c r="A17" s="3" t="inlineStr">
        <is>
          <t>商户发布与维护图书流程</t>
        </is>
      </c>
      <c r="B17" s="12">
        <f>COUNTIF('需求追踪矩阵'!$C:$C,$A17)</f>
        <v>1.0</v>
      </c>
      <c r="C17" s="14" t="inlineStr">
        <is>
          <t>UC-MER-001</t>
        </is>
      </c>
      <c r="D17" s="13" t="str">
        <f>IF(B17&gt;0,"已覆盖","缺失")</f>
        <v>已覆盖</v>
      </c>
    </row>
    <row r="18">
      <c r="A18" s="3" t="inlineStr">
        <is>
          <t>订单创建与支付流程</t>
        </is>
      </c>
      <c r="B18" s="12">
        <f>COUNTIF('需求追踪矩阵'!$C:$C,$A18)</f>
        <v>3.0</v>
      </c>
      <c r="C18" s="14" t="inlineStr">
        <is>
          <t>UC-ORDER-001、UC-ORDER-002、UC-PAY-001</t>
        </is>
      </c>
      <c r="D18" s="13" t="str">
        <f>IF(B18&gt;0,"已覆盖","缺失")</f>
        <v>已覆盖</v>
      </c>
    </row>
    <row r="19">
      <c r="A19" s="3" t="inlineStr">
        <is>
          <t>平台审核与安全审计流程</t>
        </is>
      </c>
      <c r="B19" s="12">
        <f>COUNTIF('需求追踪矩阵'!$C:$C,$A19)</f>
        <v>2.0</v>
      </c>
      <c r="C19" s="14" t="inlineStr">
        <is>
          <t>UC-ADMIN-001、UC-ADMIN-002</t>
        </is>
      </c>
      <c r="D19" s="13" t="str">
        <f>IF(B19&gt;0,"已覆盖","缺失")</f>
        <v>已覆盖</v>
      </c>
    </row>
    <row r="20">
      <c r="A20" s="13" t="inlineStr">
        <is>
          <t>合计</t>
        </is>
      </c>
      <c r="B20" s="15">
        <f>SUM(B13:B19)</f>
        <v>25.0</v>
      </c>
      <c r="C20" s="13" t="inlineStr">
        <is>
          <t>—</t>
        </is>
      </c>
      <c r="D20" s="13" t="inlineStr">
        <is>
          <t>—</t>
        </is>
      </c>
    </row>
    <row r="22">
      <c r="A22" s="10" t="inlineStr">
        <is>
          <t>三、用例覆盖（每个用例至少关联 1 条需求）</t>
        </is>
      </c>
      <c r="B22" s="11" t="n"/>
      <c r="C22" s="11" t="n"/>
      <c r="D22" s="11" t="n"/>
    </row>
    <row r="23">
      <c r="A23" s="1" t="inlineStr">
        <is>
          <t>用例编号</t>
        </is>
      </c>
      <c r="B23" s="1" t="inlineStr">
        <is>
          <t>用例名称</t>
        </is>
      </c>
      <c r="C23" s="1" t="inlineStr">
        <is>
          <t>关联需求条目数</t>
        </is>
      </c>
      <c r="D23" s="1" t="inlineStr">
        <is>
          <t>是否覆盖</t>
        </is>
      </c>
    </row>
    <row r="24">
      <c r="A24" s="4" t="inlineStr">
        <is>
          <t>UC-USER-001</t>
        </is>
      </c>
      <c r="B24" s="3" t="inlineStr">
        <is>
          <t>用户注册</t>
        </is>
      </c>
      <c r="C24" s="12">
        <f>COUNTIF('需求追踪矩阵'!$D:$D,$A24)</f>
        <v>3.0</v>
      </c>
      <c r="D24" s="13" t="str">
        <f>IF(C24&gt;0,"已覆盖","缺失")</f>
        <v>已覆盖</v>
      </c>
    </row>
    <row r="25">
      <c r="A25" s="4" t="inlineStr">
        <is>
          <t>UC-USER-002</t>
        </is>
      </c>
      <c r="B25" s="3" t="inlineStr">
        <is>
          <t>用户登录</t>
        </is>
      </c>
      <c r="C25" s="12">
        <f>COUNTIF('需求追踪矩阵'!$D:$D,$A25)</f>
        <v>5.0</v>
      </c>
      <c r="D25" s="13" t="str">
        <f>IF(C25&gt;0,"已覆盖","缺失")</f>
        <v>已覆盖</v>
      </c>
    </row>
    <row r="26">
      <c r="A26" s="4" t="inlineStr">
        <is>
          <t>UC-USER-003</t>
        </is>
      </c>
      <c r="B26" s="3" t="inlineStr">
        <is>
          <t>查询个人信息</t>
        </is>
      </c>
      <c r="C26" s="12">
        <f>COUNTIF('需求追踪矩阵'!$D:$D,$A26)</f>
        <v>2.0</v>
      </c>
      <c r="D26" s="13" t="str">
        <f>IF(C26&gt;0,"已覆盖","缺失")</f>
        <v>已覆盖</v>
      </c>
    </row>
    <row r="27">
      <c r="A27" s="4" t="inlineStr">
        <is>
          <t>UC-USER-004</t>
        </is>
      </c>
      <c r="B27" s="3" t="inlineStr">
        <is>
          <t>用户退出</t>
        </is>
      </c>
      <c r="C27" s="12">
        <f>COUNTIF('需求追踪矩阵'!$D:$D,$A27)</f>
        <v>2.0</v>
      </c>
      <c r="D27" s="13" t="str">
        <f>IF(C27&gt;0,"已覆盖","缺失")</f>
        <v>已覆盖</v>
      </c>
    </row>
    <row r="28">
      <c r="A28" s="4" t="inlineStr">
        <is>
          <t>UC-USER-005</t>
        </is>
      </c>
      <c r="B28" s="3" t="inlineStr">
        <is>
          <t>修改个人信息</t>
        </is>
      </c>
      <c r="C28" s="12">
        <f>COUNTIF('需求追踪矩阵'!$D:$D,$A28)</f>
        <v>1.0</v>
      </c>
      <c r="D28" s="13" t="str">
        <f>IF(C28&gt;0,"已覆盖","缺失")</f>
        <v>已覆盖</v>
      </c>
    </row>
    <row r="29">
      <c r="A29" s="4" t="inlineStr">
        <is>
          <t>UC-USER-006</t>
        </is>
      </c>
      <c r="B29" s="3" t="inlineStr">
        <is>
          <t>修改密码</t>
        </is>
      </c>
      <c r="C29" s="12">
        <f>COUNTIF('需求追踪矩阵'!$D:$D,$A29)</f>
        <v>1.0</v>
      </c>
      <c r="D29" s="13" t="str">
        <f>IF(C29&gt;0,"已覆盖","缺失")</f>
        <v>已覆盖</v>
      </c>
    </row>
    <row r="30">
      <c r="A30" s="4" t="inlineStr">
        <is>
          <t>UC-BOOK-001</t>
        </is>
      </c>
      <c r="B30" s="3" t="inlineStr">
        <is>
          <t>浏览与搜索图书</t>
        </is>
      </c>
      <c r="C30" s="12">
        <f>COUNTIF('需求追踪矩阵'!$D:$D,$A30)</f>
        <v>2.0</v>
      </c>
      <c r="D30" s="13" t="str">
        <f>IF(C30&gt;0,"已覆盖","缺失")</f>
        <v>已覆盖</v>
      </c>
    </row>
    <row r="31">
      <c r="A31" s="4" t="inlineStr">
        <is>
          <t>UC-BOOK-002</t>
        </is>
      </c>
      <c r="B31" s="3" t="inlineStr">
        <is>
          <t>查看图书详情</t>
        </is>
      </c>
      <c r="C31" s="12">
        <f>COUNTIF('需求追踪矩阵'!$D:$D,$A31)</f>
        <v>1.0</v>
      </c>
      <c r="D31" s="13" t="str">
        <f>IF(C31&gt;0,"已覆盖","缺失")</f>
        <v>已覆盖</v>
      </c>
    </row>
    <row r="32">
      <c r="A32" s="4" t="inlineStr">
        <is>
          <t>UC-CART-001</t>
        </is>
      </c>
      <c r="B32" s="3" t="inlineStr">
        <is>
          <t>查询购物车</t>
        </is>
      </c>
      <c r="C32" s="12">
        <f>COUNTIF('需求追踪矩阵'!$D:$D,$A32)</f>
        <v>1.0</v>
      </c>
      <c r="D32" s="13" t="str">
        <f>IF(C32&gt;0,"已覆盖","缺失")</f>
        <v>已覆盖</v>
      </c>
    </row>
    <row r="33">
      <c r="A33" s="4" t="inlineStr">
        <is>
          <t>UC-CART-002</t>
        </is>
      </c>
      <c r="B33" s="3" t="inlineStr">
        <is>
          <t>加入购物车</t>
        </is>
      </c>
      <c r="C33" s="12">
        <f>COUNTIF('需求追踪矩阵'!$D:$D,$A33)</f>
        <v>1.0</v>
      </c>
      <c r="D33" s="13" t="str">
        <f>IF(C33&gt;0,"已覆盖","缺失")</f>
        <v>已覆盖</v>
      </c>
    </row>
    <row r="34">
      <c r="A34" s="4" t="inlineStr">
        <is>
          <t>UC-MER-001</t>
        </is>
      </c>
      <c r="B34" s="3" t="inlineStr">
        <is>
          <t>维护本店图书</t>
        </is>
      </c>
      <c r="C34" s="12">
        <f>COUNTIF('需求追踪矩阵'!$D:$D,$A34)</f>
        <v>1.0</v>
      </c>
      <c r="D34" s="13" t="str">
        <f>IF(C34&gt;0,"已覆盖","缺失")</f>
        <v>已覆盖</v>
      </c>
    </row>
    <row r="35">
      <c r="A35" s="4" t="inlineStr">
        <is>
          <t>UC-ORDER-001</t>
        </is>
      </c>
      <c r="B35" s="3" t="inlineStr">
        <is>
          <t>创建与查询订单</t>
        </is>
      </c>
      <c r="C35" s="12">
        <f>COUNTIF('需求追踪矩阵'!$D:$D,$A35)</f>
        <v>1.0</v>
      </c>
      <c r="D35" s="13" t="str">
        <f>IF(C35&gt;0,"已覆盖","缺失")</f>
        <v>已覆盖</v>
      </c>
    </row>
    <row r="36">
      <c r="A36" s="4" t="inlineStr">
        <is>
          <t>UC-ORDER-002</t>
        </is>
      </c>
      <c r="B36" s="3" t="inlineStr">
        <is>
          <t>处理本店订单发货</t>
        </is>
      </c>
      <c r="C36" s="12">
        <f>COUNTIF('需求追踪矩阵'!$D:$D,$A36)</f>
        <v>1.0</v>
      </c>
      <c r="D36" s="13" t="str">
        <f>IF(C36&gt;0,"已覆盖","缺失")</f>
        <v>已覆盖</v>
      </c>
    </row>
    <row r="37">
      <c r="A37" s="4" t="inlineStr">
        <is>
          <t>UC-ADMIN-001</t>
        </is>
      </c>
      <c r="B37" s="3" t="inlineStr">
        <is>
          <t>审核商户与商品</t>
        </is>
      </c>
      <c r="C37" s="12">
        <f>COUNTIF('需求追踪矩阵'!$D:$D,$A37)</f>
        <v>1.0</v>
      </c>
      <c r="D37" s="13" t="str">
        <f>IF(C37&gt;0,"已覆盖","缺失")</f>
        <v>已覆盖</v>
      </c>
    </row>
    <row r="38">
      <c r="A38" s="4" t="inlineStr">
        <is>
          <t>UC-ADMIN-002</t>
        </is>
      </c>
      <c r="B38" s="3" t="inlineStr">
        <is>
          <t>账号封禁与审计日志</t>
        </is>
      </c>
      <c r="C38" s="12">
        <f>COUNTIF('需求追踪矩阵'!$D:$D,$A38)</f>
        <v>1.0</v>
      </c>
      <c r="D38" s="13" t="str">
        <f>IF(C38&gt;0,"已覆盖","缺失")</f>
        <v>已覆盖</v>
      </c>
    </row>
    <row r="39">
      <c r="A39" s="4" t="inlineStr">
        <is>
          <t>UC-PAY-001</t>
        </is>
      </c>
      <c r="B39" s="3" t="inlineStr">
        <is>
          <t>支付请求与回调</t>
        </is>
      </c>
      <c r="C39" s="12">
        <f>COUNTIF('需求追踪矩阵'!$D:$D,$A39)</f>
        <v>1.0</v>
      </c>
      <c r="D39" s="13" t="str">
        <f>IF(C39&gt;0,"已覆盖","缺失")</f>
        <v>已覆盖</v>
      </c>
    </row>
    <row r="40">
      <c r="A40" s="13" t="inlineStr">
        <is>
          <t>合计</t>
        </is>
      </c>
      <c r="B40" s="13" t="inlineStr">
        <is>
          <t>—</t>
        </is>
      </c>
      <c r="C40" s="15">
        <f>SUM(C24:C39)</f>
        <v>25.0</v>
      </c>
      <c r="D40" s="13" t="inlineStr">
        <is>
          <t>—</t>
        </is>
      </c>
    </row>
    <row r="42">
      <c r="A42" s="10" t="inlineStr">
        <is>
          <t>四、角色覆盖（用例图须覆盖买家、商户、管理员与支付机构）</t>
        </is>
      </c>
      <c r="B42" s="11" t="n"/>
      <c r="C42" s="11" t="n"/>
      <c r="D42" s="11" t="n"/>
    </row>
    <row r="43">
      <c r="A43" s="1" t="inlineStr">
        <is>
          <t>角色</t>
        </is>
      </c>
      <c r="B43" s="1" t="inlineStr">
        <is>
          <t>关联需求条目数</t>
        </is>
      </c>
      <c r="C43" s="1" t="inlineStr">
        <is>
          <t>是否覆盖</t>
        </is>
      </c>
      <c r="D43" s="1" t="inlineStr">
        <is>
          <t>说明</t>
        </is>
      </c>
    </row>
    <row r="44">
      <c r="A44" s="2" t="inlineStr">
        <is>
          <t>买家</t>
        </is>
      </c>
      <c r="B44" s="12">
        <f>COUNTIF('需求追踪矩阵'!$B:$B,"*"&amp;$A44&amp;"*")</f>
        <v>20.0</v>
      </c>
      <c r="C44" s="13" t="str">
        <f>IF(B44&gt;0,"已覆盖","缺失")</f>
        <v>已覆盖</v>
      </c>
      <c r="D44" s="3" t="inlineStr">
        <is>
          <t>平台内部业务角色</t>
        </is>
      </c>
    </row>
    <row r="45">
      <c r="A45" s="2" t="inlineStr">
        <is>
          <t>商户</t>
        </is>
      </c>
      <c r="B45" s="12">
        <f>COUNTIF('需求追踪矩阵'!$B:$B,"*"&amp;$A45&amp;"*")</f>
        <v>13.0</v>
      </c>
      <c r="C45" s="13" t="str">
        <f>IF(B45&gt;0,"已覆盖","缺失")</f>
        <v>已覆盖</v>
      </c>
      <c r="D45" s="3" t="inlineStr">
        <is>
          <t>平台内部业务角色</t>
        </is>
      </c>
    </row>
    <row r="46">
      <c r="A46" s="2" t="inlineStr">
        <is>
          <t>管理员</t>
        </is>
      </c>
      <c r="B46" s="12">
        <f>COUNTIF('需求追踪矩阵'!$B:$B,"*"&amp;$A46&amp;"*")</f>
        <v>13.0</v>
      </c>
      <c r="C46" s="13" t="str">
        <f>IF(B46&gt;0,"已覆盖","缺失")</f>
        <v>已覆盖</v>
      </c>
      <c r="D46" s="3" t="inlineStr">
        <is>
          <t>平台内部业务角色</t>
        </is>
      </c>
    </row>
    <row r="47">
      <c r="A47" s="2" t="inlineStr">
        <is>
          <t>支付机构</t>
        </is>
      </c>
      <c r="B47" s="12">
        <f>COUNTIF('需求追踪矩阵'!$B:$B,"*"&amp;$A47&amp;"*")</f>
        <v>1.0</v>
      </c>
      <c r="C47" s="13" t="str">
        <f>IF(B47&gt;0,"已覆盖","缺失")</f>
        <v>已覆盖</v>
      </c>
      <c r="D47" s="3" t="inlineStr">
        <is>
          <t>外部系统参与者</t>
        </is>
      </c>
    </row>
  </sheetData>
  <mergeCells count="6">
    <mergeCell ref="A1:D1"/>
    <mergeCell ref="A22:D22"/>
    <mergeCell ref="A3:D3"/>
    <mergeCell ref="A2:D2"/>
    <mergeCell ref="A11:D11"/>
    <mergeCell ref="A42:D42"/>
  </mergeCells>
  <conditionalFormatting sqref="D5:D9">
    <cfRule type="cellIs" priority="1" operator="equal" dxfId="0">
      <formula>"达标"</formula>
    </cfRule>
    <cfRule type="cellIs" priority="2" operator="equal" dxfId="0">
      <formula>"已覆盖"</formula>
    </cfRule>
    <cfRule type="cellIs" priority="3" operator="equal" dxfId="3">
      <formula>"不足"</formula>
    </cfRule>
    <cfRule type="cellIs" priority="4" operator="equal" dxfId="3">
      <formula>"缺失"</formula>
    </cfRule>
  </conditionalFormatting>
  <conditionalFormatting sqref="D13:D20">
    <cfRule type="cellIs" priority="5" operator="equal" dxfId="0">
      <formula>"达标"</formula>
    </cfRule>
    <cfRule type="cellIs" priority="6" operator="equal" dxfId="0">
      <formula>"已覆盖"</formula>
    </cfRule>
    <cfRule type="cellIs" priority="7" operator="equal" dxfId="3">
      <formula>"不足"</formula>
    </cfRule>
    <cfRule type="cellIs" priority="8" operator="equal" dxfId="3">
      <formula>"缺失"</formula>
    </cfRule>
  </conditionalFormatting>
  <conditionalFormatting sqref="D24:D40">
    <cfRule type="cellIs" priority="9" operator="equal" dxfId="0">
      <formula>"达标"</formula>
    </cfRule>
    <cfRule type="cellIs" priority="10" operator="equal" dxfId="0">
      <formula>"已覆盖"</formula>
    </cfRule>
    <cfRule type="cellIs" priority="11" operator="equal" dxfId="3">
      <formula>"不足"</formula>
    </cfRule>
    <cfRule type="cellIs" priority="12" operator="equal" dxfId="3">
      <formula>"缺失"</formula>
    </cfRule>
  </conditionalFormatting>
  <conditionalFormatting sqref="C44:C47">
    <cfRule type="cellIs" priority="13" operator="equal" dxfId="0">
      <formula>"达标"</formula>
    </cfRule>
    <cfRule type="cellIs" priority="14" operator="equal" dxfId="0">
      <formula>"已覆盖"</formula>
    </cfRule>
    <cfRule type="cellIs" priority="15" operator="equal" dxfId="3">
      <formula>"不足"</formula>
    </cfRule>
    <cfRule type="cellIs" priority="16" operator="equal" dxfId="3">
      <formula>"缺失"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需求追踪矩阵V1</dc:title>
  <dcterms:created xsi:type="dcterms:W3CDTF">2026-09-18T01:46:00Z</dcterms:created>
  <dcterms:modified xsi:type="dcterms:W3CDTF">2026-09-18T01:46:00Z</dcterms:modified>
</cp:coreProperties>
</file>